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pivotButton="0" quotePrefix="0" xfId="0"/>
    <xf numFmtId="164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16" customWidth="1" min="5" max="5"/>
    <col width="22" customWidth="1" min="6" max="6"/>
    <col width="16" customWidth="1" min="7" max="7"/>
    <col width="12" customWidth="1" min="8" max="8"/>
    <col width="14" customWidth="1" min="9" max="9"/>
    <col width="14" customWidth="1" min="10" max="10"/>
  </cols>
  <sheetData>
    <row r="1" ht="24" customHeight="1">
      <c r="A1" s="1" t="inlineStr">
        <is>
          <t>VOLTANA NATIONAL GRID — MANDATORY TRAINING COMPLIANCE TRACKER  |  Q1–Q2 2026</t>
        </is>
      </c>
    </row>
    <row r="3" ht="28" customHeight="1">
      <c r="A3" s="2" t="inlineStr">
        <is>
          <t>Employee ID</t>
        </is>
      </c>
      <c r="B3" s="2" t="inlineStr">
        <is>
          <t>Full Name</t>
        </is>
      </c>
      <c r="C3" s="2" t="inlineStr">
        <is>
          <t>Department</t>
        </is>
      </c>
      <c r="D3" s="2" t="inlineStr">
        <is>
          <t>Role</t>
        </is>
      </c>
      <c r="E3" s="2" t="inlineStr">
        <is>
          <t>HSE Induction</t>
        </is>
      </c>
      <c r="F3" s="2" t="inlineStr">
        <is>
          <t>Cybersecurity Awareness</t>
        </is>
      </c>
      <c r="G3" s="2" t="inlineStr">
        <is>
          <t>Electrical Safety</t>
        </is>
      </c>
      <c r="H3" s="2" t="inlineStr">
        <is>
          <t>First Aid</t>
        </is>
      </c>
      <c r="I3" s="2" t="inlineStr">
        <is>
          <t>Permit to Work</t>
        </is>
      </c>
      <c r="J3" s="2" t="inlineStr">
        <is>
          <t>Overall Status</t>
        </is>
      </c>
    </row>
    <row r="4">
      <c r="A4" s="3" t="inlineStr">
        <is>
          <t>EMP-001</t>
        </is>
      </c>
      <c r="B4" s="4" t="inlineStr">
        <is>
          <t>D. Silva</t>
        </is>
      </c>
      <c r="C4" s="3" t="inlineStr">
        <is>
          <t>IT</t>
        </is>
      </c>
      <c r="D4" s="3" t="inlineStr">
        <is>
          <t>SOC Analyst</t>
        </is>
      </c>
      <c r="E4" s="3" t="inlineStr">
        <is>
          <t>✓ Jan-26</t>
        </is>
      </c>
      <c r="F4" s="3" t="inlineStr">
        <is>
          <t>✓ Jan-26</t>
        </is>
      </c>
      <c r="G4" s="3" t="inlineStr">
        <is>
          <t>N/A</t>
        </is>
      </c>
      <c r="H4" s="3" t="inlineStr">
        <is>
          <t>✓ Nov-25</t>
        </is>
      </c>
      <c r="I4" s="3" t="inlineStr">
        <is>
          <t>N/A</t>
        </is>
      </c>
      <c r="J4" s="5" t="inlineStr">
        <is>
          <t>Compliant</t>
        </is>
      </c>
    </row>
    <row r="5">
      <c r="A5" s="6" t="inlineStr">
        <is>
          <t>EMP-002</t>
        </is>
      </c>
      <c r="B5" s="7" t="inlineStr">
        <is>
          <t>A. Chen</t>
        </is>
      </c>
      <c r="C5" s="6" t="inlineStr">
        <is>
          <t>Engineering</t>
        </is>
      </c>
      <c r="D5" s="6" t="inlineStr">
        <is>
          <t>SCADA Engineer</t>
        </is>
      </c>
      <c r="E5" s="6" t="inlineStr">
        <is>
          <t>✓ Feb-25</t>
        </is>
      </c>
      <c r="F5" s="6" t="inlineStr">
        <is>
          <t>✓ Jan-26</t>
        </is>
      </c>
      <c r="G5" s="6" t="inlineStr">
        <is>
          <t>✓ Feb-25</t>
        </is>
      </c>
      <c r="H5" s="6" t="inlineStr">
        <is>
          <t>✓ Mar-24</t>
        </is>
      </c>
      <c r="I5" s="6" t="inlineStr">
        <is>
          <t>✓ Feb-25</t>
        </is>
      </c>
      <c r="J5" s="5" t="inlineStr">
        <is>
          <t>Compliant</t>
        </is>
      </c>
    </row>
    <row r="6">
      <c r="A6" s="3" t="inlineStr">
        <is>
          <t>EMP-003</t>
        </is>
      </c>
      <c r="B6" s="4" t="inlineStr">
        <is>
          <t>M. Okonkwo</t>
        </is>
      </c>
      <c r="C6" s="3" t="inlineStr">
        <is>
          <t>Engineering</t>
        </is>
      </c>
      <c r="D6" s="3" t="inlineStr">
        <is>
          <t>SCADA Lead Eng.</t>
        </is>
      </c>
      <c r="E6" s="3" t="inlineStr">
        <is>
          <t>✓ Mar-24</t>
        </is>
      </c>
      <c r="F6" s="3" t="inlineStr">
        <is>
          <t>✓ Jan-26</t>
        </is>
      </c>
      <c r="G6" s="3" t="inlineStr">
        <is>
          <t>✓ Mar-24</t>
        </is>
      </c>
      <c r="H6" s="3" t="inlineStr">
        <is>
          <t>✓ Mar-24</t>
        </is>
      </c>
      <c r="I6" s="3" t="inlineStr">
        <is>
          <t>✓ Mar-24</t>
        </is>
      </c>
      <c r="J6" s="5" t="inlineStr">
        <is>
          <t>Compliant</t>
        </is>
      </c>
    </row>
    <row r="7">
      <c r="A7" s="6" t="inlineStr">
        <is>
          <t>EMP-004</t>
        </is>
      </c>
      <c r="B7" s="7" t="inlineStr">
        <is>
          <t>E. Vasquez</t>
        </is>
      </c>
      <c r="C7" s="6" t="inlineStr">
        <is>
          <t>Procurement</t>
        </is>
      </c>
      <c r="D7" s="6" t="inlineStr">
        <is>
          <t>Chief Proc. Officer</t>
        </is>
      </c>
      <c r="E7" s="6" t="inlineStr">
        <is>
          <t>✓ Jan-24</t>
        </is>
      </c>
      <c r="F7" s="6" t="inlineStr">
        <is>
          <t>⚠ Overdue</t>
        </is>
      </c>
      <c r="G7" s="6" t="inlineStr">
        <is>
          <t>N/A</t>
        </is>
      </c>
      <c r="H7" s="6" t="inlineStr">
        <is>
          <t>✓ Jan-24</t>
        </is>
      </c>
      <c r="I7" s="6" t="inlineStr">
        <is>
          <t>N/A</t>
        </is>
      </c>
      <c r="J7" s="8" t="inlineStr">
        <is>
          <t>Overdue</t>
        </is>
      </c>
    </row>
    <row r="8">
      <c r="A8" s="3" t="inlineStr">
        <is>
          <t>EMP-005</t>
        </is>
      </c>
      <c r="B8" s="4" t="inlineStr">
        <is>
          <t>J. Fernandez</t>
        </is>
      </c>
      <c r="C8" s="3" t="inlineStr">
        <is>
          <t>Engineering</t>
        </is>
      </c>
      <c r="D8" s="3" t="inlineStr">
        <is>
          <t>Field Technician</t>
        </is>
      </c>
      <c r="E8" s="3" t="inlineStr">
        <is>
          <t>✓ Aug-24</t>
        </is>
      </c>
      <c r="F8" s="3" t="inlineStr">
        <is>
          <t>✓ Dec-25</t>
        </is>
      </c>
      <c r="G8" s="3" t="inlineStr">
        <is>
          <t>✓ Aug-24</t>
        </is>
      </c>
      <c r="H8" s="3" t="inlineStr">
        <is>
          <t>✓ Aug-24</t>
        </is>
      </c>
      <c r="I8" s="3" t="inlineStr">
        <is>
          <t>✓ Aug-24</t>
        </is>
      </c>
      <c r="J8" s="5" t="inlineStr">
        <is>
          <t>Compliant</t>
        </is>
      </c>
    </row>
    <row r="9">
      <c r="A9" s="6" t="inlineStr">
        <is>
          <t>EMP-006</t>
        </is>
      </c>
      <c r="B9" s="7" t="inlineStr">
        <is>
          <t>A. Petrov</t>
        </is>
      </c>
      <c r="C9" s="6" t="inlineStr">
        <is>
          <t>Engineering</t>
        </is>
      </c>
      <c r="D9" s="6" t="inlineStr">
        <is>
          <t>Field Technician</t>
        </is>
      </c>
      <c r="E9" s="6" t="inlineStr">
        <is>
          <t>✓ Aug-24</t>
        </is>
      </c>
      <c r="F9" s="6" t="inlineStr">
        <is>
          <t>✓ Jan-26</t>
        </is>
      </c>
      <c r="G9" s="6" t="inlineStr">
        <is>
          <t>✓ Aug-24</t>
        </is>
      </c>
      <c r="H9" s="6" t="inlineStr">
        <is>
          <t>✓ Aug-24</t>
        </is>
      </c>
      <c r="I9" s="6" t="inlineStr">
        <is>
          <t>✓ Aug-24</t>
        </is>
      </c>
      <c r="J9" s="5" t="inlineStr">
        <is>
          <t>Compliant</t>
        </is>
      </c>
    </row>
    <row r="10">
      <c r="A10" s="3" t="inlineStr">
        <is>
          <t>EMP-007</t>
        </is>
      </c>
      <c r="B10" s="4" t="inlineStr">
        <is>
          <t>S. Nguyen</t>
        </is>
      </c>
      <c r="C10" s="3" t="inlineStr">
        <is>
          <t>Finance</t>
        </is>
      </c>
      <c r="D10" s="3" t="inlineStr">
        <is>
          <t>Financial Controller</t>
        </is>
      </c>
      <c r="E10" s="3" t="inlineStr">
        <is>
          <t>✓ Feb-24</t>
        </is>
      </c>
      <c r="F10" s="3" t="inlineStr">
        <is>
          <t>✓ Feb-26</t>
        </is>
      </c>
      <c r="G10" s="3" t="inlineStr">
        <is>
          <t>N/A</t>
        </is>
      </c>
      <c r="H10" s="3" t="inlineStr">
        <is>
          <t>✓ Feb-24</t>
        </is>
      </c>
      <c r="I10" s="3" t="inlineStr">
        <is>
          <t>N/A</t>
        </is>
      </c>
      <c r="J10" s="5" t="inlineStr">
        <is>
          <t>Compliant</t>
        </is>
      </c>
    </row>
    <row r="11">
      <c r="A11" s="6" t="inlineStr">
        <is>
          <t>EMP-008</t>
        </is>
      </c>
      <c r="B11" s="7" t="inlineStr">
        <is>
          <t>L. Mokoena</t>
        </is>
      </c>
      <c r="C11" s="6" t="inlineStr">
        <is>
          <t>HR</t>
        </is>
      </c>
      <c r="D11" s="6" t="inlineStr">
        <is>
          <t>HR Business Partner</t>
        </is>
      </c>
      <c r="E11" s="6" t="inlineStr">
        <is>
          <t>✓ Jan-26</t>
        </is>
      </c>
      <c r="F11" s="6" t="inlineStr">
        <is>
          <t>✓ Jan-26</t>
        </is>
      </c>
      <c r="G11" s="6" t="inlineStr">
        <is>
          <t>N/A</t>
        </is>
      </c>
      <c r="H11" s="6" t="inlineStr">
        <is>
          <t>✓ Jan-26</t>
        </is>
      </c>
      <c r="I11" s="6" t="inlineStr">
        <is>
          <t>N/A</t>
        </is>
      </c>
      <c r="J11" s="5" t="inlineStr">
        <is>
          <t>Compliant</t>
        </is>
      </c>
    </row>
    <row r="12">
      <c r="A12" s="3" t="inlineStr">
        <is>
          <t>EMP-009</t>
        </is>
      </c>
      <c r="B12" s="4" t="inlineStr">
        <is>
          <t>P. Kowalski</t>
        </is>
      </c>
      <c r="C12" s="3" t="inlineStr">
        <is>
          <t>Operations</t>
        </is>
      </c>
      <c r="D12" s="3" t="inlineStr">
        <is>
          <t>Control Room Op.</t>
        </is>
      </c>
      <c r="E12" s="3" t="inlineStr">
        <is>
          <t>✓ Sep-24</t>
        </is>
      </c>
      <c r="F12" s="3" t="inlineStr">
        <is>
          <t>⚠ Overdue</t>
        </is>
      </c>
      <c r="G12" s="3" t="inlineStr">
        <is>
          <t>✓ Sep-24</t>
        </is>
      </c>
      <c r="H12" s="3" t="inlineStr">
        <is>
          <t>✓ Sep-24</t>
        </is>
      </c>
      <c r="I12" s="3" t="inlineStr">
        <is>
          <t>✓ Sep-24</t>
        </is>
      </c>
      <c r="J12" s="8" t="inlineStr">
        <is>
          <t>Overdue</t>
        </is>
      </c>
    </row>
    <row r="13">
      <c r="A13" s="6" t="inlineStr">
        <is>
          <t>EMP-010</t>
        </is>
      </c>
      <c r="B13" s="7" t="inlineStr">
        <is>
          <t>R. Bello</t>
        </is>
      </c>
      <c r="C13" s="6" t="inlineStr">
        <is>
          <t>Security</t>
        </is>
      </c>
      <c r="D13" s="6" t="inlineStr">
        <is>
          <t>Physical Security</t>
        </is>
      </c>
      <c r="E13" s="6" t="inlineStr">
        <is>
          <t>✓ Oct-24</t>
        </is>
      </c>
      <c r="F13" s="6" t="inlineStr">
        <is>
          <t>✓ Jan-26</t>
        </is>
      </c>
      <c r="G13" s="6" t="inlineStr">
        <is>
          <t>N/A</t>
        </is>
      </c>
      <c r="H13" s="6" t="inlineStr">
        <is>
          <t>✓ Oct-24</t>
        </is>
      </c>
      <c r="I13" s="6" t="inlineStr">
        <is>
          <t>N/A</t>
        </is>
      </c>
      <c r="J13" s="5" t="inlineStr">
        <is>
          <t>Compliant</t>
        </is>
      </c>
    </row>
    <row r="14">
      <c r="A14" s="3" t="inlineStr">
        <is>
          <t>EMP-011</t>
        </is>
      </c>
      <c r="B14" s="4" t="inlineStr">
        <is>
          <t>T. Yamamoto</t>
        </is>
      </c>
      <c r="C14" s="3" t="inlineStr">
        <is>
          <t>Engineering</t>
        </is>
      </c>
      <c r="D14" s="3" t="inlineStr">
        <is>
          <t>Protection Eng.</t>
        </is>
      </c>
      <c r="E14" s="3" t="inlineStr">
        <is>
          <t>✓ Apr-25</t>
        </is>
      </c>
      <c r="F14" s="3" t="inlineStr">
        <is>
          <t>✓ Jan-26</t>
        </is>
      </c>
      <c r="G14" s="3" t="inlineStr">
        <is>
          <t>✓ Apr-25</t>
        </is>
      </c>
      <c r="H14" s="3" t="inlineStr">
        <is>
          <t>✓ Apr-25</t>
        </is>
      </c>
      <c r="I14" s="3" t="inlineStr">
        <is>
          <t>✓ Apr-25</t>
        </is>
      </c>
      <c r="J14" s="5" t="inlineStr">
        <is>
          <t>Compliant</t>
        </is>
      </c>
    </row>
    <row r="15">
      <c r="A15" s="6" t="inlineStr">
        <is>
          <t>EMP-012</t>
        </is>
      </c>
      <c r="B15" s="7" t="inlineStr">
        <is>
          <t>C. Mbeki</t>
        </is>
      </c>
      <c r="C15" s="6" t="inlineStr">
        <is>
          <t>IT</t>
        </is>
      </c>
      <c r="D15" s="6" t="inlineStr">
        <is>
          <t>Network Admin</t>
        </is>
      </c>
      <c r="E15" s="6" t="inlineStr">
        <is>
          <t>⚠ Overdue</t>
        </is>
      </c>
      <c r="F15" s="6" t="inlineStr">
        <is>
          <t>✓ Jan-26</t>
        </is>
      </c>
      <c r="G15" s="6" t="inlineStr">
        <is>
          <t>N/A</t>
        </is>
      </c>
      <c r="H15" s="6" t="inlineStr">
        <is>
          <t>✓ Mar-24</t>
        </is>
      </c>
      <c r="I15" s="6" t="inlineStr">
        <is>
          <t>N/A</t>
        </is>
      </c>
      <c r="J15" s="8" t="inlineStr">
        <is>
          <t>Overdue</t>
        </is>
      </c>
    </row>
    <row r="17">
      <c r="A17" s="9" t="inlineStr">
        <is>
          <t>SUMMARY</t>
        </is>
      </c>
      <c r="B17" s="9" t="n"/>
    </row>
    <row r="18">
      <c r="A18" s="9" t="inlineStr">
        <is>
          <t>Total Employees</t>
        </is>
      </c>
      <c r="B18" s="9">
        <f>COUNTA(A4:A15)</f>
        <v/>
      </c>
    </row>
    <row r="19">
      <c r="A19" s="9" t="inlineStr">
        <is>
          <t>Compliant</t>
        </is>
      </c>
      <c r="B19" s="9">
        <f>COUNTIF(J4:J15,"Compliant")</f>
        <v/>
      </c>
    </row>
    <row r="20">
      <c r="A20" s="9" t="inlineStr">
        <is>
          <t>Overdue</t>
        </is>
      </c>
      <c r="B20" s="9">
        <f>COUNTIF(J4:J15,"Overdue")</f>
        <v/>
      </c>
    </row>
    <row r="21">
      <c r="A21" s="9" t="inlineStr">
        <is>
          <t>Compliance Rate</t>
        </is>
      </c>
      <c r="B21" s="10">
        <f>B19/B18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2026-05-11T19:54:49Z</dcterms:created>
  <dcterms:modified xmlns:dcterms="http://purl.org/dc/terms/" xmlns:xsi="http://www.w3.org/2001/XMLSchema-instance" xsi:type="dcterms:W3CDTF">2026-05-11T19:54:49Z</dcterms:modified>
</cp:coreProperties>
</file>